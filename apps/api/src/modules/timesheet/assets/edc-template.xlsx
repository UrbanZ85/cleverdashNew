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<sst xmlns="http://schemas.openxmlformats.org/spreadsheetml/2006/main" count="84" uniqueCount="50">
  <si>
    <t xml:space="preserve">EVIDENCA O IZRABI DELOVNEGA ČASA</t>
  </si>
  <si>
    <t xml:space="preserve">Ime in priimek</t>
  </si>
  <si>
    <t xml:space="preserve">Kaja Satler</t>
  </si>
  <si>
    <t xml:space="preserve">Delovni čas po PZ</t>
  </si>
  <si>
    <t xml:space="preserve">ur/teden</t>
  </si>
  <si>
    <t xml:space="preserve">Mesec/leto</t>
  </si>
  <si>
    <t xml:space="preserve">Razlog za delo s KDČ</t>
  </si>
  <si>
    <t xml:space="preserve">Mesečna delovna obveza</t>
  </si>
  <si>
    <t xml:space="preserve">ur</t>
  </si>
  <si>
    <t xml:space="preserve">Vrsta razporeditve DČ</t>
  </si>
  <si>
    <t xml:space="preserve">Referenčno obdobje</t>
  </si>
  <si>
    <t xml:space="preserve">Prenos ur iz prejšnjega meseca</t>
  </si>
  <si>
    <t xml:space="preserve">ČAS DELA</t>
  </si>
  <si>
    <t xml:space="preserve">ODMOR</t>
  </si>
  <si>
    <t xml:space="preserve">URE</t>
  </si>
  <si>
    <t xml:space="preserve">Ure z nadom. v breme delod. </t>
  </si>
  <si>
    <t xml:space="preserve">Ure z nadom. v breme drugih org.</t>
  </si>
  <si>
    <t xml:space="preserve">Ure brez nadom.</t>
  </si>
  <si>
    <t xml:space="preserve">POSEBNI POGOJI DELA</t>
  </si>
  <si>
    <t xml:space="preserve">datum</t>
  </si>
  <si>
    <t xml:space="preserve">dan</t>
  </si>
  <si>
    <t xml:space="preserve">prihod</t>
  </si>
  <si>
    <t xml:space="preserve">odhod</t>
  </si>
  <si>
    <t xml:space="preserve">od</t>
  </si>
  <si>
    <t xml:space="preserve">do</t>
  </si>
  <si>
    <t xml:space="preserve">trajanje</t>
  </si>
  <si>
    <t xml:space="preserve">redne</t>
  </si>
  <si>
    <t xml:space="preserve">nadure</t>
  </si>
  <si>
    <t xml:space="preserve">neenakom.</t>
  </si>
  <si>
    <t xml:space="preserve">začasna</t>
  </si>
  <si>
    <t xml:space="preserve">LD</t>
  </si>
  <si>
    <t xml:space="preserve">PRAZNIK</t>
  </si>
  <si>
    <t xml:space="preserve">BOLNIŠKA</t>
  </si>
  <si>
    <t xml:space="preserve">drugo*</t>
  </si>
  <si>
    <t xml:space="preserve">NOČNO</t>
  </si>
  <si>
    <t xml:space="preserve">NEDELJA</t>
  </si>
  <si>
    <t xml:space="preserve">IZMENSKO</t>
  </si>
  <si>
    <t xml:space="preserve">DELJENO</t>
  </si>
  <si>
    <t xml:space="preserve">DRUGO*</t>
  </si>
  <si>
    <t xml:space="preserve">4.</t>
  </si>
  <si>
    <t xml:space="preserve">5.</t>
  </si>
  <si>
    <t xml:space="preserve">6.</t>
  </si>
  <si>
    <t xml:space="preserve">7.</t>
  </si>
  <si>
    <t xml:space="preserve">tedenski seštevek ur</t>
  </si>
  <si>
    <t xml:space="preserve">1.</t>
  </si>
  <si>
    <t xml:space="preserve">2.</t>
  </si>
  <si>
    <t xml:space="preserve">3.</t>
  </si>
  <si>
    <t xml:space="preserve">Skupaj ure/mesec</t>
  </si>
  <si>
    <t xml:space="preserve">Spodaj podpisani, potrjujem točnost vpisanih podatkov. Prav tako  s podpisom potrjujem, da mi je delodajalec en izvod evidence o izrabi delovnega časa izročil.                                      </t>
  </si>
  <si>
    <t xml:space="preserve">Podpis delavca/ke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</si>
</sst>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yy"/>
    <numFmt numFmtId="166" formatCode="ddd&quot;, &quot;mmm\ dd"/>
    <numFmt numFmtId="167" formatCode="hh:mm"/>
    <numFmt numFmtId="168" formatCode="[h]:mm"/>
    <numFmt numFmtId="169" formatCode="mm/dd/yyyy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theme="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05"/>
        <bgColor rgb="FFEDEDED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  <fill>
      <patternFill patternType="solid">
        <fgColor theme="4" tint="0.7999"/>
        <bgColor rgb="FFD6DCE5"/>
      </patternFill>
    </fill>
    <fill>
      <patternFill patternType="solid">
        <fgColor theme="6" tint="0.7999"/>
        <bgColor rgb="FFF2F2F2"/>
      </patternFill>
    </fill>
    <fill>
      <patternFill patternType="solid">
        <fgColor theme="3" tint="0.7999"/>
        <bgColor rgb="FFDAE3F3"/>
      </patternFill>
    </fill>
    <fill>
      <patternFill patternType="solid">
        <fgColor rgb="FFC0F8E2"/>
        <bgColor rgb="FFE2F0D9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3999"/>
        <bgColor rgb="FF969696"/>
      </patternFill>
    </fill>
    <fill>
      <patternFill patternType="solid">
        <fgColor rgb="FFF3EA8D"/>
        <bgColor rgb="FFFFF2CC"/>
      </patternFill>
    </fill>
    <fill>
      <patternFill patternType="solid">
        <fgColor rgb="FFFF828D"/>
        <bgColor rgb="FFFF9900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8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1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3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4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5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10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6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7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7" borderId="10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8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9" borderId="9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3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4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5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2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11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11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11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11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11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0" borderId="3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3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3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3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3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3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3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1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6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4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1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1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BE5D6"/>
      <rgbColor rgb="FF808080"/>
      <rgbColor rgb="FF8FAADC"/>
      <rgbColor rgb="FF993366"/>
      <rgbColor rgb="FFFFF2CC"/>
      <rgbColor rgb="FFE2F0D9"/>
      <rgbColor rgb="FF660066"/>
      <rgbColor rgb="FFFF828D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C0F8E2"/>
      <rgbColor rgb="FFF3EA8D"/>
      <rgbColor rgb="FFEDEDED"/>
      <rgbColor rgb="FFF2F2F2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79"/>
  <sheetViews>
    <sheetView showFormulas="false" showGridLines="true" showRowColHeaders="true" showZeros="true" rightToLeft="false" tabSelected="true" showOutlineSymbols="true" defaultGridColor="true" view="normal" topLeftCell="A31" colorId="64" zoomScale="90" zoomScaleNormal="90" zoomScalePageLayoutView="100" workbookViewId="0">
      <selection pane="topLeft" activeCell="I7" activeCellId="0" sqref="I7"/>
    </sheetView>
  </sheetViews>
  <sheetFormatPr defaultColWidth="11.00390625" defaultRowHeight="15.75" zeroHeight="false" outlineLevelRow="0" outlineLevelCol="0"/>
  <cols>
    <col collapsed="false" customWidth="true" hidden="false" outlineLevel="0" max="2" min="2" style="1" width="11.84"/>
    <col collapsed="false" customWidth="true" hidden="false" outlineLevel="0" max="3" min="3" style="1" width="5.84"/>
    <col collapsed="false" customWidth="true" hidden="false" outlineLevel="0" max="4" min="4" style="1" width="5.5"/>
    <col collapsed="false" customWidth="true" hidden="false" outlineLevel="0" max="7" min="5" style="1" width="5.84"/>
    <col collapsed="false" customWidth="true" hidden="false" outlineLevel="0" max="8" min="8" style="1" width="5.5"/>
    <col collapsed="false" customWidth="true" hidden="false" outlineLevel="0" max="9" min="9" style="1" width="6.5"/>
    <col collapsed="false" customWidth="true" hidden="false" outlineLevel="0" max="12" min="10" style="1" width="5.84"/>
    <col collapsed="false" customWidth="true" hidden="false" outlineLevel="0" max="13" min="13" style="1" width="5.66"/>
    <col collapsed="false" customWidth="true" hidden="false" outlineLevel="0" max="14" min="14" style="1" width="5.5"/>
    <col collapsed="false" customWidth="true" hidden="false" outlineLevel="0" max="15" min="15" style="1" width="5.66"/>
    <col collapsed="false" customWidth="true" hidden="false" outlineLevel="0" max="18" min="16" style="1" width="4.67"/>
    <col collapsed="false" customWidth="true" hidden="false" outlineLevel="0" max="19" min="19" style="1" width="8.16"/>
    <col collapsed="false" customWidth="true" hidden="false" outlineLevel="0" max="20" min="20" style="1" width="7.17"/>
    <col collapsed="false" customWidth="true" hidden="false" outlineLevel="0" max="25" min="21" style="1" width="4.67"/>
  </cols>
  <sheetData>
    <row r="1" customFormat="false" ht="24.75" hidden="false" customHeight="true" outlineLevel="0" collapsed="false"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C2" s="4" t="s">
        <v>0</v>
      </c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</row>
    <row r="3" customFormat="false" ht="19.5" hidden="false" customHeight="true" outlineLevel="0" collapsed="false">
      <c r="C3" s="8"/>
      <c r="Y3" s="9"/>
    </row>
    <row r="4" customFormat="false" ht="19.5" hidden="false" customHeight="true" outlineLevel="0" collapsed="false">
      <c r="C4" s="10" t="s">
        <v>1</v>
      </c>
      <c r="D4" s="10"/>
      <c r="E4" s="10"/>
      <c r="F4" s="10"/>
      <c r="G4" s="10"/>
      <c r="I4" s="11" t="s">
        <v>2</v>
      </c>
      <c r="J4" s="11"/>
      <c r="K4" s="11"/>
      <c r="L4" s="11"/>
      <c r="M4" s="11"/>
      <c r="N4" s="11"/>
      <c r="R4" s="12" t="s">
        <v>3</v>
      </c>
      <c r="S4" s="12"/>
      <c r="T4" s="12"/>
      <c r="U4" s="13" t="n">
        <v>40</v>
      </c>
      <c r="V4" s="13"/>
      <c r="W4" s="14" t="s">
        <v>4</v>
      </c>
      <c r="X4" s="14"/>
      <c r="Y4" s="9"/>
    </row>
    <row r="5" customFormat="false" ht="19.5" hidden="false" customHeight="true" outlineLevel="0" collapsed="false">
      <c r="C5" s="10" t="s">
        <v>5</v>
      </c>
      <c r="D5" s="10"/>
      <c r="E5" s="10"/>
      <c r="F5" s="10"/>
      <c r="G5" s="10"/>
      <c r="I5" s="15" t="n">
        <v>46082</v>
      </c>
      <c r="J5" s="15"/>
      <c r="K5" s="15"/>
      <c r="L5" s="15"/>
      <c r="M5" s="15"/>
      <c r="N5" s="15"/>
      <c r="R5" s="12" t="s">
        <v>6</v>
      </c>
      <c r="S5" s="12"/>
      <c r="T5" s="12"/>
      <c r="U5" s="13"/>
      <c r="V5" s="13"/>
      <c r="W5" s="13"/>
      <c r="X5" s="13"/>
      <c r="Y5" s="9"/>
    </row>
    <row r="6" customFormat="false" ht="19.5" hidden="false" customHeight="true" outlineLevel="0" collapsed="false">
      <c r="C6" s="10" t="s">
        <v>7</v>
      </c>
      <c r="D6" s="10"/>
      <c r="E6" s="10"/>
      <c r="F6" s="10"/>
      <c r="G6" s="10"/>
      <c r="I6" s="13" t="n">
        <v>176</v>
      </c>
      <c r="J6" s="13"/>
      <c r="K6" s="13"/>
      <c r="L6" s="16" t="s">
        <v>8</v>
      </c>
      <c r="M6" s="17"/>
      <c r="N6" s="17"/>
      <c r="R6" s="12" t="s">
        <v>9</v>
      </c>
      <c r="S6" s="12"/>
      <c r="T6" s="12"/>
      <c r="U6" s="13"/>
      <c r="V6" s="13"/>
      <c r="W6" s="13"/>
      <c r="X6" s="13"/>
      <c r="Y6" s="9"/>
    </row>
    <row r="7" customFormat="false" ht="19.5" hidden="false" customHeight="true" outlineLevel="0" collapsed="false">
      <c r="C7" s="18" t="s">
        <v>10</v>
      </c>
      <c r="D7" s="18"/>
      <c r="E7" s="18"/>
      <c r="F7" s="18"/>
      <c r="G7" s="18"/>
      <c r="I7" s="11"/>
      <c r="J7" s="11"/>
      <c r="K7" s="11"/>
      <c r="L7" s="11"/>
      <c r="M7" s="11"/>
      <c r="N7" s="11"/>
      <c r="Y7" s="9"/>
    </row>
    <row r="8" customFormat="false" ht="19.5" hidden="false" customHeight="true" outlineLevel="0" collapsed="false">
      <c r="C8" s="18" t="s">
        <v>11</v>
      </c>
      <c r="D8" s="18"/>
      <c r="E8" s="18"/>
      <c r="F8" s="18"/>
      <c r="G8" s="18"/>
      <c r="I8" s="13"/>
      <c r="J8" s="13"/>
      <c r="K8" s="13"/>
      <c r="L8" s="16" t="s">
        <v>8</v>
      </c>
      <c r="Y8" s="9"/>
    </row>
    <row r="9" customFormat="false" ht="19.5" hidden="false" customHeight="true" outlineLevel="0" collapsed="false">
      <c r="C9" s="19"/>
      <c r="D9" s="20"/>
      <c r="E9" s="20"/>
      <c r="F9" s="20"/>
      <c r="G9" s="20"/>
      <c r="H9" s="21"/>
      <c r="I9" s="20"/>
      <c r="J9" s="20"/>
      <c r="K9" s="20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2"/>
    </row>
    <row r="10" customFormat="false" ht="16.5" hidden="false" customHeight="false" outlineLevel="0" collapsed="false"/>
    <row r="11" customFormat="false" ht="57.75" hidden="false" customHeight="true" outlineLevel="0" collapsed="false">
      <c r="D11" s="23" t="s">
        <v>12</v>
      </c>
      <c r="E11" s="23"/>
      <c r="F11" s="24" t="s">
        <v>13</v>
      </c>
      <c r="G11" s="24"/>
      <c r="H11" s="24"/>
      <c r="I11" s="25" t="s">
        <v>14</v>
      </c>
      <c r="J11" s="25"/>
      <c r="K11" s="25"/>
      <c r="L11" s="25"/>
      <c r="M11" s="26" t="s">
        <v>15</v>
      </c>
      <c r="N11" s="26"/>
      <c r="O11" s="26"/>
      <c r="P11" s="26"/>
      <c r="Q11" s="27" t="s">
        <v>16</v>
      </c>
      <c r="R11" s="27"/>
      <c r="S11" s="28" t="s">
        <v>17</v>
      </c>
      <c r="T11" s="29" t="s">
        <v>18</v>
      </c>
      <c r="U11" s="29"/>
      <c r="V11" s="29"/>
      <c r="W11" s="29"/>
      <c r="X11" s="29"/>
      <c r="Y11" s="29"/>
    </row>
    <row r="12" s="40" customFormat="true" ht="147" hidden="false" customHeight="false" outlineLevel="0" collapsed="false">
      <c r="A12" s="1"/>
      <c r="B12" s="30" t="s">
        <v>19</v>
      </c>
      <c r="C12" s="30" t="s">
        <v>20</v>
      </c>
      <c r="D12" s="31" t="s">
        <v>21</v>
      </c>
      <c r="E12" s="31" t="s">
        <v>22</v>
      </c>
      <c r="F12" s="32" t="s">
        <v>23</v>
      </c>
      <c r="G12" s="32" t="s">
        <v>24</v>
      </c>
      <c r="H12" s="32" t="s">
        <v>25</v>
      </c>
      <c r="I12" s="33" t="s">
        <v>26</v>
      </c>
      <c r="J12" s="34" t="s">
        <v>27</v>
      </c>
      <c r="K12" s="34" t="s">
        <v>28</v>
      </c>
      <c r="L12" s="34" t="s">
        <v>29</v>
      </c>
      <c r="M12" s="35" t="s">
        <v>30</v>
      </c>
      <c r="N12" s="35" t="s">
        <v>31</v>
      </c>
      <c r="O12" s="35" t="s">
        <v>32</v>
      </c>
      <c r="P12" s="35" t="s">
        <v>33</v>
      </c>
      <c r="Q12" s="36" t="s">
        <v>33</v>
      </c>
      <c r="R12" s="37" t="s">
        <v>33</v>
      </c>
      <c r="S12" s="38" t="s">
        <v>33</v>
      </c>
      <c r="T12" s="39" t="s">
        <v>34</v>
      </c>
      <c r="U12" s="39" t="s">
        <v>35</v>
      </c>
      <c r="V12" s="39" t="s">
        <v>31</v>
      </c>
      <c r="W12" s="39" t="s">
        <v>36</v>
      </c>
      <c r="X12" s="39" t="s">
        <v>37</v>
      </c>
      <c r="Y12" s="39" t="s">
        <v>38</v>
      </c>
    </row>
    <row r="13" customFormat="false" ht="15" hidden="false" customHeight="false" outlineLevel="0" collapsed="false">
      <c r="B13" s="41" t="n">
        <v>46083</v>
      </c>
      <c r="C13" s="42" t="n">
        <v>1</v>
      </c>
      <c r="D13" s="43" t="n">
        <v>0.375</v>
      </c>
      <c r="E13" s="44" t="n">
        <v>0.708333333333333</v>
      </c>
      <c r="F13" s="45" t="n">
        <v>0.520833333333333</v>
      </c>
      <c r="G13" s="46" t="n">
        <v>0.541666666666667</v>
      </c>
      <c r="H13" s="47" t="n">
        <f aca="false">IF((G13-F13)&gt;0,G13-F13,"")</f>
        <v>0.0208333333333333</v>
      </c>
      <c r="I13" s="48" t="n">
        <f aca="false">IF((E13-D13)&gt;0,E13-D13,"")</f>
        <v>0.333333333333333</v>
      </c>
      <c r="J13" s="49"/>
      <c r="K13" s="50"/>
      <c r="L13" s="51"/>
      <c r="M13" s="52"/>
      <c r="N13" s="53"/>
      <c r="O13" s="53"/>
      <c r="P13" s="54"/>
      <c r="Q13" s="55"/>
      <c r="R13" s="56"/>
      <c r="S13" s="57"/>
      <c r="T13" s="58"/>
      <c r="U13" s="59"/>
      <c r="V13" s="59"/>
      <c r="W13" s="59"/>
      <c r="X13" s="59"/>
      <c r="Y13" s="60"/>
    </row>
    <row r="14" customFormat="false" ht="15" hidden="false" customHeight="false" outlineLevel="0" collapsed="false">
      <c r="B14" s="41" t="n">
        <v>46084</v>
      </c>
      <c r="C14" s="42" t="n">
        <v>2</v>
      </c>
      <c r="D14" s="43" t="n">
        <v>0.375</v>
      </c>
      <c r="E14" s="44" t="n">
        <v>0.708333333333333</v>
      </c>
      <c r="F14" s="45" t="n">
        <v>0.520833333333333</v>
      </c>
      <c r="G14" s="46" t="n">
        <v>0.541666666666667</v>
      </c>
      <c r="H14" s="47" t="n">
        <f aca="false">IF((G14-F14)&gt;0,G14-F14,"")</f>
        <v>0.0208333333333333</v>
      </c>
      <c r="I14" s="48" t="n">
        <f aca="false">IF((E14-D14)&gt;0,E14-D14,"")</f>
        <v>0.333333333333333</v>
      </c>
      <c r="J14" s="61"/>
      <c r="K14" s="62"/>
      <c r="L14" s="63"/>
      <c r="M14" s="64"/>
      <c r="N14" s="65"/>
      <c r="O14" s="65"/>
      <c r="P14" s="66"/>
      <c r="Q14" s="67"/>
      <c r="R14" s="68"/>
      <c r="S14" s="69"/>
      <c r="T14" s="70"/>
      <c r="U14" s="71"/>
      <c r="V14" s="71"/>
      <c r="W14" s="71"/>
      <c r="X14" s="71"/>
      <c r="Y14" s="72"/>
    </row>
    <row r="15" customFormat="false" ht="15" hidden="false" customHeight="false" outlineLevel="0" collapsed="false">
      <c r="A15" s="1"/>
      <c r="B15" s="41" t="n">
        <v>46085</v>
      </c>
      <c r="C15" s="42" t="n">
        <v>3</v>
      </c>
      <c r="D15" s="43" t="n">
        <v>0.375</v>
      </c>
      <c r="E15" s="44" t="n">
        <v>0.708333333333333</v>
      </c>
      <c r="F15" s="45" t="n">
        <v>0.520833333333333</v>
      </c>
      <c r="G15" s="46" t="n">
        <v>0.541666666666667</v>
      </c>
      <c r="H15" s="47" t="n">
        <f aca="false">IF((G15-F15)&gt;0,G15-F15,"")</f>
        <v>0.0208333333333333</v>
      </c>
      <c r="I15" s="48" t="n">
        <f aca="false">IF((E15-D15)&gt;0,E15-D15,"")</f>
        <v>0.333333333333333</v>
      </c>
      <c r="J15" s="61"/>
      <c r="K15" s="62"/>
      <c r="L15" s="63"/>
      <c r="M15" s="64"/>
      <c r="N15" s="65"/>
      <c r="O15" s="65"/>
      <c r="P15" s="66"/>
      <c r="Q15" s="67"/>
      <c r="R15" s="68"/>
      <c r="S15" s="69"/>
      <c r="T15" s="70"/>
      <c r="U15" s="71"/>
      <c r="V15" s="71"/>
      <c r="W15" s="71"/>
      <c r="X15" s="71"/>
      <c r="Y15" s="72"/>
    </row>
    <row r="16" customFormat="false" ht="15" hidden="false" customHeight="false" outlineLevel="0" collapsed="false">
      <c r="B16" s="41" t="n">
        <v>46086</v>
      </c>
      <c r="C16" s="73" t="s">
        <v>39</v>
      </c>
      <c r="D16" s="43" t="n">
        <v>0.375</v>
      </c>
      <c r="E16" s="44" t="n">
        <v>0.708333333333333</v>
      </c>
      <c r="F16" s="45" t="n">
        <v>0.520833333333333</v>
      </c>
      <c r="G16" s="46" t="n">
        <v>0.541666666666667</v>
      </c>
      <c r="H16" s="47" t="n">
        <f aca="false">IF((G16-F16)&gt;0,G16-F16,"")</f>
        <v>0.0208333333333333</v>
      </c>
      <c r="I16" s="48" t="n">
        <f aca="false">IF((E16-D16)&gt;0,E16-D16,"")</f>
        <v>0.333333333333333</v>
      </c>
      <c r="J16" s="61"/>
      <c r="K16" s="62"/>
      <c r="L16" s="63"/>
      <c r="M16" s="64"/>
      <c r="N16" s="65"/>
      <c r="O16" s="65"/>
      <c r="P16" s="66"/>
      <c r="Q16" s="67"/>
      <c r="R16" s="68"/>
      <c r="S16" s="69"/>
      <c r="T16" s="70"/>
      <c r="U16" s="71"/>
      <c r="V16" s="71"/>
      <c r="W16" s="71"/>
      <c r="X16" s="71"/>
      <c r="Y16" s="72"/>
    </row>
    <row r="17" customFormat="false" ht="15" hidden="false" customHeight="false" outlineLevel="0" collapsed="false">
      <c r="B17" s="41" t="n">
        <v>46087</v>
      </c>
      <c r="C17" s="73" t="s">
        <v>40</v>
      </c>
      <c r="D17" s="43" t="n">
        <v>0.375</v>
      </c>
      <c r="E17" s="44" t="n">
        <v>0.708333333333333</v>
      </c>
      <c r="F17" s="45" t="n">
        <v>0.520833333333333</v>
      </c>
      <c r="G17" s="46" t="n">
        <v>0.541666666666667</v>
      </c>
      <c r="H17" s="47" t="n">
        <f aca="false">IF((G17-F17)&gt;0,G17-F17,"")</f>
        <v>0.0208333333333333</v>
      </c>
      <c r="I17" s="48" t="n">
        <f aca="false">IF((E17-D17)&gt;0,E17-D17,"")</f>
        <v>0.333333333333333</v>
      </c>
      <c r="J17" s="61"/>
      <c r="K17" s="62"/>
      <c r="L17" s="63"/>
      <c r="M17" s="64"/>
      <c r="N17" s="65"/>
      <c r="O17" s="65"/>
      <c r="P17" s="66"/>
      <c r="Q17" s="67"/>
      <c r="R17" s="68"/>
      <c r="S17" s="69"/>
      <c r="T17" s="70"/>
      <c r="U17" s="71"/>
      <c r="V17" s="71"/>
      <c r="W17" s="71"/>
      <c r="X17" s="71"/>
      <c r="Y17" s="72"/>
    </row>
    <row r="18" customFormat="false" ht="15" hidden="false" customHeight="false" outlineLevel="0" collapsed="false">
      <c r="B18" s="41" t="n">
        <v>46088</v>
      </c>
      <c r="C18" s="73" t="s">
        <v>41</v>
      </c>
      <c r="D18" s="43"/>
      <c r="E18" s="44"/>
      <c r="F18" s="45"/>
      <c r="G18" s="46"/>
      <c r="H18" s="47"/>
      <c r="I18" s="48"/>
      <c r="J18" s="61"/>
      <c r="K18" s="62"/>
      <c r="L18" s="63"/>
      <c r="M18" s="64"/>
      <c r="N18" s="65"/>
      <c r="O18" s="65"/>
      <c r="P18" s="66"/>
      <c r="Q18" s="67"/>
      <c r="R18" s="68"/>
      <c r="S18" s="69"/>
      <c r="T18" s="70"/>
      <c r="U18" s="71"/>
      <c r="V18" s="71"/>
      <c r="W18" s="71"/>
      <c r="X18" s="71"/>
      <c r="Y18" s="72"/>
    </row>
    <row r="19" customFormat="false" ht="15" hidden="false" customHeight="false" outlineLevel="0" collapsed="false">
      <c r="B19" s="41" t="n">
        <v>46089</v>
      </c>
      <c r="C19" s="73" t="s">
        <v>42</v>
      </c>
      <c r="D19" s="43"/>
      <c r="E19" s="44"/>
      <c r="F19" s="45"/>
      <c r="G19" s="46"/>
      <c r="H19" s="47"/>
      <c r="I19" s="48"/>
      <c r="J19" s="61"/>
      <c r="K19" s="62"/>
      <c r="L19" s="63"/>
      <c r="M19" s="64"/>
      <c r="N19" s="65"/>
      <c r="O19" s="65"/>
      <c r="P19" s="66"/>
      <c r="Q19" s="67"/>
      <c r="R19" s="68"/>
      <c r="S19" s="69"/>
      <c r="T19" s="70"/>
      <c r="U19" s="71"/>
      <c r="V19" s="71"/>
      <c r="W19" s="71"/>
      <c r="X19" s="71"/>
      <c r="Y19" s="72"/>
    </row>
    <row r="20" s="40" customFormat="true" ht="15" hidden="false" customHeight="false" outlineLevel="0" collapsed="false">
      <c r="B20" s="74" t="s">
        <v>43</v>
      </c>
      <c r="C20" s="74"/>
      <c r="D20" s="74"/>
      <c r="E20" s="74"/>
      <c r="F20" s="74"/>
      <c r="G20" s="74"/>
      <c r="H20" s="74"/>
      <c r="I20" s="75" t="n">
        <f aca="false">SUM(I13:I19)</f>
        <v>1.66666666666667</v>
      </c>
      <c r="J20" s="75" t="n">
        <f aca="false">SUM(J13:J19)</f>
        <v>0</v>
      </c>
      <c r="K20" s="75" t="n">
        <f aca="false">SUM(K13:K19)</f>
        <v>0</v>
      </c>
      <c r="L20" s="76" t="n">
        <f aca="false">SUM(L13:L19)</f>
        <v>0</v>
      </c>
      <c r="M20" s="77" t="n">
        <f aca="false">SUM(M13:M19)</f>
        <v>0</v>
      </c>
      <c r="N20" s="78" t="n">
        <f aca="false">SUM(N13:N19)</f>
        <v>0</v>
      </c>
      <c r="O20" s="78" t="n">
        <f aca="false">SUM(O13:O19)</f>
        <v>0</v>
      </c>
      <c r="P20" s="78" t="n">
        <f aca="false">SUM(P13:P19)</f>
        <v>0</v>
      </c>
      <c r="Q20" s="78" t="n">
        <f aca="false">SUM(Q13:Q19)</f>
        <v>0</v>
      </c>
      <c r="R20" s="78" t="n">
        <f aca="false">SUM(R13:R19)</f>
        <v>0</v>
      </c>
      <c r="S20" s="78" t="n">
        <f aca="false">SUM(S13:S19)</f>
        <v>0</v>
      </c>
      <c r="T20" s="78" t="n">
        <f aca="false">SUM(T13:T19)</f>
        <v>0</v>
      </c>
      <c r="U20" s="78" t="n">
        <f aca="false">SUM(U13:U19)</f>
        <v>0</v>
      </c>
      <c r="V20" s="78" t="n">
        <f aca="false">SUM(V13:V19)</f>
        <v>0</v>
      </c>
      <c r="W20" s="78" t="n">
        <f aca="false">SUM(W13:W19)</f>
        <v>0</v>
      </c>
      <c r="X20" s="78" t="n">
        <f aca="false">SUM(X13:X19)</f>
        <v>0</v>
      </c>
      <c r="Y20" s="79" t="n">
        <f aca="false">SUM(Y13:Y19)</f>
        <v>0</v>
      </c>
    </row>
    <row r="21" customFormat="false" ht="15" hidden="false" customHeight="false" outlineLevel="0" collapsed="false">
      <c r="B21" s="41" t="n">
        <v>46090</v>
      </c>
      <c r="C21" s="42" t="s">
        <v>44</v>
      </c>
      <c r="D21" s="43" t="n">
        <v>0.375</v>
      </c>
      <c r="E21" s="44" t="n">
        <v>0.708333333333333</v>
      </c>
      <c r="F21" s="45" t="n">
        <v>0.520833333333333</v>
      </c>
      <c r="G21" s="46" t="n">
        <v>0.541666666666667</v>
      </c>
      <c r="H21" s="47" t="n">
        <f aca="false">IF((G21-F21)&gt;0,G21-F21,"")</f>
        <v>0.0208333333333333</v>
      </c>
      <c r="I21" s="48" t="n">
        <f aca="false">IF((E21-D21)&gt;0,E21-D21,"")</f>
        <v>0.333333333333333</v>
      </c>
      <c r="J21" s="61"/>
      <c r="K21" s="50"/>
      <c r="L21" s="51"/>
      <c r="M21" s="52"/>
      <c r="N21" s="53"/>
      <c r="O21" s="53"/>
      <c r="P21" s="54"/>
      <c r="Q21" s="55"/>
      <c r="R21" s="56"/>
      <c r="S21" s="57"/>
      <c r="T21" s="58"/>
      <c r="U21" s="59"/>
      <c r="V21" s="59"/>
      <c r="W21" s="59"/>
      <c r="X21" s="59"/>
      <c r="Y21" s="60"/>
    </row>
    <row r="22" customFormat="false" ht="15" hidden="false" customHeight="false" outlineLevel="0" collapsed="false">
      <c r="B22" s="41" t="n">
        <v>46091</v>
      </c>
      <c r="C22" s="80" t="s">
        <v>45</v>
      </c>
      <c r="D22" s="43" t="n">
        <v>0.375</v>
      </c>
      <c r="E22" s="44" t="n">
        <v>0.708333333333333</v>
      </c>
      <c r="F22" s="45" t="n">
        <v>0.520833333333333</v>
      </c>
      <c r="G22" s="46" t="n">
        <v>0.541666666666667</v>
      </c>
      <c r="H22" s="47" t="n">
        <f aca="false">IF((G22-F22)&gt;0,G22-F22,"")</f>
        <v>0.0208333333333333</v>
      </c>
      <c r="I22" s="48" t="n">
        <f aca="false">IF((E22-D22)&gt;0,E22-D22,"")</f>
        <v>0.333333333333333</v>
      </c>
      <c r="J22" s="61"/>
      <c r="K22" s="62"/>
      <c r="L22" s="63"/>
      <c r="M22" s="64"/>
      <c r="N22" s="65"/>
      <c r="O22" s="65"/>
      <c r="P22" s="66"/>
      <c r="Q22" s="67"/>
      <c r="R22" s="68"/>
      <c r="S22" s="69"/>
      <c r="T22" s="70"/>
      <c r="U22" s="71"/>
      <c r="V22" s="71"/>
      <c r="W22" s="71"/>
      <c r="X22" s="71"/>
      <c r="Y22" s="72"/>
    </row>
    <row r="23" customFormat="false" ht="15" hidden="false" customHeight="false" outlineLevel="0" collapsed="false">
      <c r="A23" s="1"/>
      <c r="B23" s="41" t="n">
        <v>46092</v>
      </c>
      <c r="C23" s="73" t="s">
        <v>46</v>
      </c>
      <c r="D23" s="43" t="n">
        <v>0.375</v>
      </c>
      <c r="E23" s="44" t="n">
        <v>0.708333333333333</v>
      </c>
      <c r="F23" s="45" t="n">
        <v>0.520833333333333</v>
      </c>
      <c r="G23" s="46" t="n">
        <v>0.541666666666667</v>
      </c>
      <c r="H23" s="47" t="n">
        <f aca="false">IF((G23-F23)&gt;0,G23-F23,"")</f>
        <v>0.0208333333333333</v>
      </c>
      <c r="I23" s="48" t="n">
        <f aca="false">IF((E23-D23)&gt;0,E23-D23,"")</f>
        <v>0.333333333333333</v>
      </c>
      <c r="J23" s="61"/>
      <c r="K23" s="62"/>
      <c r="L23" s="63"/>
      <c r="M23" s="64"/>
      <c r="N23" s="65"/>
      <c r="O23" s="65"/>
      <c r="P23" s="66"/>
      <c r="Q23" s="67"/>
      <c r="R23" s="68"/>
      <c r="S23" s="69"/>
      <c r="T23" s="70"/>
      <c r="U23" s="71"/>
      <c r="V23" s="71"/>
      <c r="W23" s="71"/>
      <c r="X23" s="71"/>
      <c r="Y23" s="72"/>
    </row>
    <row r="24" customFormat="false" ht="15" hidden="false" customHeight="false" outlineLevel="0" collapsed="false">
      <c r="B24" s="41" t="n">
        <v>46093</v>
      </c>
      <c r="C24" s="73" t="s">
        <v>39</v>
      </c>
      <c r="D24" s="43" t="n">
        <v>0.375</v>
      </c>
      <c r="E24" s="44" t="n">
        <v>0.708333333333333</v>
      </c>
      <c r="F24" s="45" t="n">
        <v>0.520833333333333</v>
      </c>
      <c r="G24" s="46" t="n">
        <v>0.541666666666667</v>
      </c>
      <c r="H24" s="47" t="n">
        <f aca="false">IF((G24-F24)&gt;0,G24-F24,"")</f>
        <v>0.0208333333333333</v>
      </c>
      <c r="I24" s="48" t="n">
        <f aca="false">IF((E24-D24)&gt;0,E24-D24,"")</f>
        <v>0.333333333333333</v>
      </c>
      <c r="J24" s="61"/>
      <c r="K24" s="62"/>
      <c r="L24" s="63"/>
      <c r="M24" s="64"/>
      <c r="N24" s="65"/>
      <c r="O24" s="65"/>
      <c r="P24" s="66"/>
      <c r="Q24" s="67"/>
      <c r="R24" s="68"/>
      <c r="S24" s="69"/>
      <c r="T24" s="70"/>
      <c r="U24" s="71"/>
      <c r="V24" s="71"/>
      <c r="W24" s="71"/>
      <c r="X24" s="71"/>
      <c r="Y24" s="72"/>
    </row>
    <row r="25" customFormat="false" ht="15" hidden="false" customHeight="false" outlineLevel="0" collapsed="false">
      <c r="B25" s="41" t="n">
        <v>46094</v>
      </c>
      <c r="C25" s="73" t="s">
        <v>40</v>
      </c>
      <c r="D25" s="43" t="n">
        <v>0.375</v>
      </c>
      <c r="E25" s="44" t="n">
        <v>0.708333333333333</v>
      </c>
      <c r="F25" s="45" t="n">
        <v>0.520833333333333</v>
      </c>
      <c r="G25" s="46" t="n">
        <v>0.541666666666667</v>
      </c>
      <c r="H25" s="47" t="n">
        <f aca="false">IF((G25-F25)&gt;0,G25-F25,"")</f>
        <v>0.0208333333333333</v>
      </c>
      <c r="I25" s="48" t="n">
        <f aca="false">IF((E25-D25)&gt;0,E25-D25,"")</f>
        <v>0.333333333333333</v>
      </c>
      <c r="J25" s="61"/>
      <c r="K25" s="62"/>
      <c r="L25" s="63"/>
      <c r="M25" s="64"/>
      <c r="N25" s="65"/>
      <c r="O25" s="65"/>
      <c r="P25" s="66"/>
      <c r="Q25" s="67"/>
      <c r="R25" s="68"/>
      <c r="S25" s="69"/>
      <c r="T25" s="70"/>
      <c r="U25" s="71"/>
      <c r="V25" s="71"/>
      <c r="W25" s="71"/>
      <c r="X25" s="71"/>
      <c r="Y25" s="72"/>
    </row>
    <row r="26" customFormat="false" ht="15" hidden="false" customHeight="false" outlineLevel="0" collapsed="false">
      <c r="B26" s="41" t="n">
        <v>46095</v>
      </c>
      <c r="C26" s="73" t="s">
        <v>41</v>
      </c>
      <c r="D26" s="43"/>
      <c r="E26" s="44"/>
      <c r="F26" s="45"/>
      <c r="G26" s="46"/>
      <c r="H26" s="47"/>
      <c r="I26" s="48"/>
      <c r="J26" s="61"/>
      <c r="K26" s="62"/>
      <c r="L26" s="63"/>
      <c r="M26" s="64"/>
      <c r="N26" s="65"/>
      <c r="O26" s="65"/>
      <c r="P26" s="66"/>
      <c r="Q26" s="67"/>
      <c r="R26" s="68"/>
      <c r="S26" s="69"/>
      <c r="T26" s="70"/>
      <c r="U26" s="71"/>
      <c r="V26" s="71"/>
      <c r="W26" s="71"/>
      <c r="X26" s="71"/>
      <c r="Y26" s="72"/>
    </row>
    <row r="27" customFormat="false" ht="15" hidden="false" customHeight="false" outlineLevel="0" collapsed="false">
      <c r="B27" s="41" t="n">
        <v>46096</v>
      </c>
      <c r="C27" s="73" t="s">
        <v>42</v>
      </c>
      <c r="D27" s="43"/>
      <c r="E27" s="44"/>
      <c r="F27" s="45"/>
      <c r="G27" s="46"/>
      <c r="H27" s="47"/>
      <c r="I27" s="48"/>
      <c r="J27" s="81"/>
      <c r="K27" s="82"/>
      <c r="L27" s="83"/>
      <c r="M27" s="84"/>
      <c r="N27" s="85"/>
      <c r="O27" s="85"/>
      <c r="P27" s="86"/>
      <c r="Q27" s="87"/>
      <c r="R27" s="88"/>
      <c r="S27" s="89"/>
      <c r="T27" s="90"/>
      <c r="U27" s="91"/>
      <c r="V27" s="91"/>
      <c r="W27" s="91"/>
      <c r="X27" s="91"/>
      <c r="Y27" s="92"/>
    </row>
    <row r="28" s="40" customFormat="true" ht="16.5" hidden="false" customHeight="false" outlineLevel="0" collapsed="false">
      <c r="B28" s="74" t="s">
        <v>43</v>
      </c>
      <c r="C28" s="74"/>
      <c r="D28" s="74"/>
      <c r="E28" s="74"/>
      <c r="F28" s="74"/>
      <c r="G28" s="74"/>
      <c r="H28" s="74"/>
      <c r="I28" s="75" t="n">
        <f aca="false">SUM(I21:I27)</f>
        <v>1.66666666666667</v>
      </c>
      <c r="J28" s="75" t="n">
        <f aca="false">SUM(J21:J27)</f>
        <v>0</v>
      </c>
      <c r="K28" s="75" t="n">
        <f aca="false">SUM(K21:K27)</f>
        <v>0</v>
      </c>
      <c r="L28" s="76" t="n">
        <f aca="false">SUM(L21:L27)</f>
        <v>0</v>
      </c>
      <c r="M28" s="77" t="n">
        <f aca="false">SUM(M21:M27)</f>
        <v>0</v>
      </c>
      <c r="N28" s="78" t="n">
        <f aca="false">SUM(N21:N27)</f>
        <v>0</v>
      </c>
      <c r="O28" s="78" t="n">
        <f aca="false">SUM(O21:O27)</f>
        <v>0</v>
      </c>
      <c r="P28" s="78" t="n">
        <f aca="false">SUM(P21:P27)</f>
        <v>0</v>
      </c>
      <c r="Q28" s="78" t="n">
        <f aca="false">SUM(Q21:Q27)</f>
        <v>0</v>
      </c>
      <c r="R28" s="78" t="n">
        <f aca="false">SUM(R21:R27)</f>
        <v>0</v>
      </c>
      <c r="S28" s="78" t="n">
        <f aca="false">SUM(S21:S27)</f>
        <v>0</v>
      </c>
      <c r="T28" s="78" t="n">
        <f aca="false">SUM(T21:T27)</f>
        <v>0</v>
      </c>
      <c r="U28" s="78" t="n">
        <f aca="false">SUM(U21:U27)</f>
        <v>0</v>
      </c>
      <c r="V28" s="78" t="n">
        <f aca="false">SUM(V21:V27)</f>
        <v>0</v>
      </c>
      <c r="W28" s="78" t="n">
        <f aca="false">SUM(W21:W27)</f>
        <v>0</v>
      </c>
      <c r="X28" s="78" t="n">
        <f aca="false">SUM(X21:X27)</f>
        <v>0</v>
      </c>
      <c r="Y28" s="79" t="n">
        <f aca="false">SUM(Y21:Y27)</f>
        <v>0</v>
      </c>
    </row>
    <row r="29" customFormat="false" ht="15" hidden="false" customHeight="false" outlineLevel="0" collapsed="false">
      <c r="B29" s="41" t="n">
        <v>46097</v>
      </c>
      <c r="C29" s="42" t="s">
        <v>44</v>
      </c>
      <c r="D29" s="43" t="n">
        <v>0.375</v>
      </c>
      <c r="E29" s="44" t="n">
        <v>0.708333333333333</v>
      </c>
      <c r="F29" s="45" t="n">
        <v>0.520833333333333</v>
      </c>
      <c r="G29" s="46" t="n">
        <v>0.541666666666667</v>
      </c>
      <c r="H29" s="47" t="n">
        <f aca="false">IF((G29-F29)&gt;0,G29-F29,"")</f>
        <v>0.0208333333333333</v>
      </c>
      <c r="I29" s="48" t="n">
        <f aca="false">IF((E29-D29)&gt;0,E29-D29,"")</f>
        <v>0.333333333333333</v>
      </c>
      <c r="J29" s="49"/>
      <c r="K29" s="50"/>
      <c r="L29" s="51"/>
      <c r="M29" s="52"/>
      <c r="N29" s="53"/>
      <c r="O29" s="53"/>
      <c r="P29" s="54"/>
      <c r="Q29" s="55"/>
      <c r="R29" s="56"/>
      <c r="S29" s="57"/>
      <c r="T29" s="58"/>
      <c r="U29" s="59"/>
      <c r="V29" s="59"/>
      <c r="W29" s="59"/>
      <c r="X29" s="59"/>
      <c r="Y29" s="60"/>
    </row>
    <row r="30" customFormat="false" ht="15" hidden="false" customHeight="false" outlineLevel="0" collapsed="false">
      <c r="B30" s="41" t="n">
        <v>46098</v>
      </c>
      <c r="C30" s="80" t="s">
        <v>45</v>
      </c>
      <c r="D30" s="43" t="n">
        <v>0.375</v>
      </c>
      <c r="E30" s="44" t="n">
        <v>0.708333333333333</v>
      </c>
      <c r="F30" s="45" t="n">
        <v>0.520833333333333</v>
      </c>
      <c r="G30" s="46" t="n">
        <v>0.541666666666667</v>
      </c>
      <c r="H30" s="47" t="n">
        <f aca="false">IF((G30-F30)&gt;0,G30-F30,"")</f>
        <v>0.0208333333333333</v>
      </c>
      <c r="I30" s="48" t="n">
        <f aca="false">IF((E30-D30)&gt;0,E30-D30,"")</f>
        <v>0.333333333333333</v>
      </c>
      <c r="J30" s="61"/>
      <c r="K30" s="62"/>
      <c r="L30" s="63"/>
      <c r="M30" s="64"/>
      <c r="N30" s="65"/>
      <c r="O30" s="65"/>
      <c r="P30" s="66"/>
      <c r="Q30" s="67"/>
      <c r="R30" s="68"/>
      <c r="S30" s="69"/>
      <c r="T30" s="70"/>
      <c r="U30" s="71"/>
      <c r="V30" s="71"/>
      <c r="W30" s="71"/>
      <c r="X30" s="71"/>
      <c r="Y30" s="72"/>
    </row>
    <row r="31" customFormat="false" ht="15" hidden="false" customHeight="false" outlineLevel="0" collapsed="false">
      <c r="A31" s="1"/>
      <c r="B31" s="41" t="n">
        <v>46099</v>
      </c>
      <c r="C31" s="73" t="s">
        <v>46</v>
      </c>
      <c r="D31" s="43" t="n">
        <v>0.375</v>
      </c>
      <c r="E31" s="44" t="n">
        <v>0.708333333333333</v>
      </c>
      <c r="F31" s="45" t="n">
        <v>0.520833333333333</v>
      </c>
      <c r="G31" s="46" t="n">
        <v>0.541666666666667</v>
      </c>
      <c r="H31" s="47" t="n">
        <f aca="false">IF((G31-F31)&gt;0,G31-F31,"")</f>
        <v>0.0208333333333333</v>
      </c>
      <c r="I31" s="48" t="n">
        <f aca="false">IF((E31-D31)&gt;0,E31-D31,"")</f>
        <v>0.333333333333333</v>
      </c>
      <c r="J31" s="61"/>
      <c r="K31" s="62"/>
      <c r="L31" s="63"/>
      <c r="M31" s="64"/>
      <c r="N31" s="65"/>
      <c r="O31" s="65"/>
      <c r="P31" s="66"/>
      <c r="Q31" s="67"/>
      <c r="R31" s="68"/>
      <c r="S31" s="69"/>
      <c r="T31" s="70"/>
      <c r="U31" s="71"/>
      <c r="V31" s="71"/>
      <c r="W31" s="71"/>
      <c r="X31" s="71"/>
      <c r="Y31" s="72"/>
    </row>
    <row r="32" customFormat="false" ht="15" hidden="false" customHeight="false" outlineLevel="0" collapsed="false">
      <c r="B32" s="41" t="n">
        <v>46100</v>
      </c>
      <c r="C32" s="73" t="s">
        <v>39</v>
      </c>
      <c r="D32" s="43" t="n">
        <v>0.375</v>
      </c>
      <c r="E32" s="44" t="n">
        <v>0.708333333333333</v>
      </c>
      <c r="F32" s="45" t="n">
        <v>0.520833333333333</v>
      </c>
      <c r="G32" s="46" t="n">
        <v>0.541666666666667</v>
      </c>
      <c r="H32" s="47" t="n">
        <f aca="false">IF((G32-F32)&gt;0,G32-F32,"")</f>
        <v>0.0208333333333333</v>
      </c>
      <c r="I32" s="48" t="n">
        <f aca="false">IF((E32-D32)&gt;0,E32-D32,"")</f>
        <v>0.333333333333333</v>
      </c>
      <c r="J32" s="61"/>
      <c r="K32" s="62"/>
      <c r="L32" s="63"/>
      <c r="M32" s="64"/>
      <c r="N32" s="65"/>
      <c r="O32" s="65"/>
      <c r="P32" s="66"/>
      <c r="Q32" s="67"/>
      <c r="R32" s="68"/>
      <c r="S32" s="69"/>
      <c r="T32" s="70"/>
      <c r="U32" s="71"/>
      <c r="V32" s="71"/>
      <c r="W32" s="71"/>
      <c r="X32" s="71"/>
      <c r="Y32" s="72"/>
    </row>
    <row r="33" customFormat="false" ht="15" hidden="false" customHeight="false" outlineLevel="0" collapsed="false">
      <c r="B33" s="41" t="n">
        <v>46101</v>
      </c>
      <c r="C33" s="73" t="s">
        <v>40</v>
      </c>
      <c r="D33" s="43" t="n">
        <v>0.375</v>
      </c>
      <c r="E33" s="44" t="n">
        <v>0.708333333333333</v>
      </c>
      <c r="F33" s="45" t="n">
        <v>0.520833333333333</v>
      </c>
      <c r="G33" s="46" t="n">
        <v>0.541666666666667</v>
      </c>
      <c r="H33" s="47" t="n">
        <f aca="false">IF((G33-F33)&gt;0,G33-F33,"")</f>
        <v>0.0208333333333333</v>
      </c>
      <c r="I33" s="48" t="n">
        <f aca="false">IF((E33-D33)&gt;0,E33-D33,"")</f>
        <v>0.333333333333333</v>
      </c>
      <c r="J33" s="61"/>
      <c r="K33" s="62"/>
      <c r="L33" s="63"/>
      <c r="M33" s="64"/>
      <c r="N33" s="65"/>
      <c r="O33" s="65"/>
      <c r="P33" s="66"/>
      <c r="Q33" s="67"/>
      <c r="R33" s="68"/>
      <c r="S33" s="69"/>
      <c r="T33" s="70"/>
      <c r="U33" s="71"/>
      <c r="V33" s="71"/>
      <c r="W33" s="71"/>
      <c r="X33" s="71"/>
      <c r="Y33" s="72"/>
    </row>
    <row r="34" customFormat="false" ht="15" hidden="false" customHeight="false" outlineLevel="0" collapsed="false">
      <c r="B34" s="41" t="n">
        <v>46102</v>
      </c>
      <c r="C34" s="73" t="s">
        <v>41</v>
      </c>
      <c r="D34" s="43"/>
      <c r="E34" s="44"/>
      <c r="F34" s="45"/>
      <c r="G34" s="46"/>
      <c r="H34" s="47"/>
      <c r="I34" s="48"/>
      <c r="J34" s="61"/>
      <c r="K34" s="62"/>
      <c r="L34" s="63"/>
      <c r="M34" s="64"/>
      <c r="N34" s="65"/>
      <c r="O34" s="65"/>
      <c r="P34" s="66"/>
      <c r="Q34" s="67"/>
      <c r="R34" s="68"/>
      <c r="S34" s="69"/>
      <c r="T34" s="70"/>
      <c r="U34" s="71"/>
      <c r="V34" s="71"/>
      <c r="W34" s="71"/>
      <c r="X34" s="71"/>
      <c r="Y34" s="72"/>
    </row>
    <row r="35" customFormat="false" ht="15" hidden="false" customHeight="false" outlineLevel="0" collapsed="false">
      <c r="B35" s="41" t="n">
        <v>46103</v>
      </c>
      <c r="C35" s="73" t="s">
        <v>42</v>
      </c>
      <c r="D35" s="43"/>
      <c r="E35" s="44"/>
      <c r="F35" s="45"/>
      <c r="G35" s="46"/>
      <c r="H35" s="47"/>
      <c r="I35" s="48"/>
      <c r="J35" s="82"/>
      <c r="K35" s="82"/>
      <c r="L35" s="83"/>
      <c r="M35" s="84"/>
      <c r="N35" s="85"/>
      <c r="O35" s="85"/>
      <c r="P35" s="86"/>
      <c r="Q35" s="87"/>
      <c r="R35" s="88"/>
      <c r="S35" s="89"/>
      <c r="T35" s="90"/>
      <c r="U35" s="91"/>
      <c r="V35" s="91"/>
      <c r="W35" s="91"/>
      <c r="X35" s="91"/>
      <c r="Y35" s="92"/>
    </row>
    <row r="36" s="40" customFormat="true" ht="15" hidden="false" customHeight="false" outlineLevel="0" collapsed="false">
      <c r="B36" s="74" t="s">
        <v>43</v>
      </c>
      <c r="C36" s="74"/>
      <c r="D36" s="74"/>
      <c r="E36" s="74"/>
      <c r="F36" s="74"/>
      <c r="G36" s="74"/>
      <c r="H36" s="74"/>
      <c r="I36" s="75" t="n">
        <f aca="false">SUM(I29:I35)</f>
        <v>1.66666666666667</v>
      </c>
      <c r="J36" s="75" t="n">
        <f aca="false">SUM(J29:J35)</f>
        <v>0</v>
      </c>
      <c r="K36" s="75" t="n">
        <f aca="false">SUM(K29:K35)</f>
        <v>0</v>
      </c>
      <c r="L36" s="76" t="n">
        <f aca="false">SUM(L29:L35)</f>
        <v>0</v>
      </c>
      <c r="M36" s="77" t="n">
        <f aca="false">SUM(M29:M35)</f>
        <v>0</v>
      </c>
      <c r="N36" s="78" t="n">
        <f aca="false">SUM(N29:N35)</f>
        <v>0</v>
      </c>
      <c r="O36" s="78" t="n">
        <f aca="false">SUM(O29:O35)</f>
        <v>0</v>
      </c>
      <c r="P36" s="78" t="n">
        <f aca="false">SUM(P29:P35)</f>
        <v>0</v>
      </c>
      <c r="Q36" s="78" t="n">
        <f aca="false">SUM(Q29:Q35)</f>
        <v>0</v>
      </c>
      <c r="R36" s="78" t="n">
        <f aca="false">SUM(R29:R35)</f>
        <v>0</v>
      </c>
      <c r="S36" s="78" t="n">
        <f aca="false">SUM(S29:S35)</f>
        <v>0</v>
      </c>
      <c r="T36" s="78" t="n">
        <f aca="false">SUM(T29:T35)</f>
        <v>0</v>
      </c>
      <c r="U36" s="78" t="n">
        <f aca="false">SUM(U29:U35)</f>
        <v>0</v>
      </c>
      <c r="V36" s="78" t="n">
        <f aca="false">SUM(V29:V35)</f>
        <v>0</v>
      </c>
      <c r="W36" s="78" t="n">
        <f aca="false">SUM(W29:W35)</f>
        <v>0</v>
      </c>
      <c r="X36" s="78" t="n">
        <f aca="false">SUM(X29:X35)</f>
        <v>0</v>
      </c>
      <c r="Y36" s="79" t="n">
        <f aca="false">SUM(Y29:Y35)</f>
        <v>0</v>
      </c>
    </row>
    <row r="37" customFormat="false" ht="15" hidden="false" customHeight="false" outlineLevel="0" collapsed="false">
      <c r="B37" s="41" t="n">
        <v>46104</v>
      </c>
      <c r="C37" s="42" t="s">
        <v>44</v>
      </c>
      <c r="D37" s="43" t="n">
        <v>0.375</v>
      </c>
      <c r="E37" s="44" t="n">
        <v>0.708333333333333</v>
      </c>
      <c r="F37" s="45" t="n">
        <v>0.520833333333333</v>
      </c>
      <c r="G37" s="46" t="n">
        <v>0.541666666666667</v>
      </c>
      <c r="H37" s="47" t="n">
        <f aca="false">IF((G37-F37)&gt;0,G37-F37,"")</f>
        <v>0.0208333333333333</v>
      </c>
      <c r="I37" s="48" t="n">
        <f aca="false">IF((E37-D37)&gt;0,E37-D37,"")</f>
        <v>0.333333333333333</v>
      </c>
      <c r="J37" s="61"/>
      <c r="K37" s="50"/>
      <c r="L37" s="51"/>
      <c r="M37" s="52"/>
      <c r="N37" s="53"/>
      <c r="O37" s="53"/>
      <c r="P37" s="54"/>
      <c r="Q37" s="55"/>
      <c r="R37" s="56"/>
      <c r="S37" s="57"/>
      <c r="T37" s="58"/>
      <c r="U37" s="59"/>
      <c r="V37" s="59"/>
      <c r="W37" s="59"/>
      <c r="X37" s="59"/>
      <c r="Y37" s="60"/>
    </row>
    <row r="38" customFormat="false" ht="15" hidden="false" customHeight="false" outlineLevel="0" collapsed="false">
      <c r="B38" s="41" t="n">
        <v>46105</v>
      </c>
      <c r="C38" s="80" t="s">
        <v>45</v>
      </c>
      <c r="D38" s="43" t="n">
        <v>0.375</v>
      </c>
      <c r="E38" s="44" t="n">
        <v>0.708333333333333</v>
      </c>
      <c r="F38" s="45" t="n">
        <v>0.520833333333333</v>
      </c>
      <c r="G38" s="46" t="n">
        <v>0.541666666666667</v>
      </c>
      <c r="H38" s="47" t="n">
        <f aca="false">IF((G38-F38)&gt;0,G38-F38,"")</f>
        <v>0.0208333333333333</v>
      </c>
      <c r="I38" s="48" t="n">
        <f aca="false">IF((E38-D38)&gt;0,E38-D38,"")</f>
        <v>0.333333333333333</v>
      </c>
      <c r="J38" s="61"/>
      <c r="K38" s="62"/>
      <c r="L38" s="63"/>
      <c r="M38" s="64"/>
      <c r="N38" s="65"/>
      <c r="O38" s="65"/>
      <c r="P38" s="66"/>
      <c r="Q38" s="67"/>
      <c r="R38" s="68"/>
      <c r="S38" s="69"/>
      <c r="T38" s="70"/>
      <c r="U38" s="71"/>
      <c r="V38" s="71"/>
      <c r="W38" s="71"/>
      <c r="X38" s="71"/>
      <c r="Y38" s="72"/>
    </row>
    <row r="39" customFormat="false" ht="15" hidden="false" customHeight="false" outlineLevel="0" collapsed="false">
      <c r="A39" s="1"/>
      <c r="B39" s="41" t="n">
        <v>46106</v>
      </c>
      <c r="C39" s="73" t="s">
        <v>46</v>
      </c>
      <c r="D39" s="43" t="n">
        <v>0.375</v>
      </c>
      <c r="E39" s="44" t="n">
        <v>0.708333333333333</v>
      </c>
      <c r="F39" s="45" t="n">
        <v>0.520833333333333</v>
      </c>
      <c r="G39" s="46" t="n">
        <v>0.541666666666667</v>
      </c>
      <c r="H39" s="47" t="n">
        <f aca="false">IF((G39-F39)&gt;0,G39-F39,"")</f>
        <v>0.0208333333333333</v>
      </c>
      <c r="I39" s="48" t="n">
        <f aca="false">IF((E39-D39)&gt;0,E39-D39,"")</f>
        <v>0.333333333333333</v>
      </c>
      <c r="J39" s="61"/>
      <c r="K39" s="62"/>
      <c r="L39" s="63"/>
      <c r="M39" s="64"/>
      <c r="N39" s="65"/>
      <c r="O39" s="65"/>
      <c r="P39" s="66"/>
      <c r="Q39" s="67"/>
      <c r="R39" s="68"/>
      <c r="S39" s="69"/>
      <c r="T39" s="70"/>
      <c r="U39" s="71"/>
      <c r="V39" s="71"/>
      <c r="W39" s="71"/>
      <c r="X39" s="71"/>
      <c r="Y39" s="72"/>
    </row>
    <row r="40" customFormat="false" ht="15" hidden="false" customHeight="false" outlineLevel="0" collapsed="false">
      <c r="B40" s="41" t="n">
        <v>46107</v>
      </c>
      <c r="C40" s="73" t="s">
        <v>39</v>
      </c>
      <c r="D40" s="43" t="n">
        <v>0.375</v>
      </c>
      <c r="E40" s="44" t="n">
        <v>0.708333333333333</v>
      </c>
      <c r="F40" s="45" t="n">
        <v>0.520833333333333</v>
      </c>
      <c r="G40" s="46" t="n">
        <v>0.541666666666667</v>
      </c>
      <c r="H40" s="47" t="n">
        <f aca="false">IF((G40-F40)&gt;0,G40-F40,"")</f>
        <v>0.0208333333333333</v>
      </c>
      <c r="I40" s="48" t="n">
        <f aca="false">IF((E40-D40)&gt;0,E40-D40,"")</f>
        <v>0.333333333333333</v>
      </c>
      <c r="J40" s="61"/>
      <c r="K40" s="62"/>
      <c r="L40" s="63"/>
      <c r="M40" s="64"/>
      <c r="N40" s="65"/>
      <c r="O40" s="65"/>
      <c r="P40" s="66"/>
      <c r="Q40" s="67"/>
      <c r="R40" s="68"/>
      <c r="S40" s="69"/>
      <c r="T40" s="70"/>
      <c r="U40" s="71"/>
      <c r="V40" s="71"/>
      <c r="W40" s="71"/>
      <c r="X40" s="71"/>
      <c r="Y40" s="72"/>
    </row>
    <row r="41" customFormat="false" ht="15" hidden="false" customHeight="false" outlineLevel="0" collapsed="false">
      <c r="B41" s="41" t="n">
        <v>46108</v>
      </c>
      <c r="C41" s="73" t="s">
        <v>40</v>
      </c>
      <c r="D41" s="43" t="n">
        <v>0.375</v>
      </c>
      <c r="E41" s="44" t="n">
        <v>0.708333333333333</v>
      </c>
      <c r="F41" s="45" t="n">
        <v>0.520833333333333</v>
      </c>
      <c r="G41" s="46" t="n">
        <v>0.541666666666667</v>
      </c>
      <c r="H41" s="47" t="n">
        <f aca="false">IF((G41-F41)&gt;0,G41-F41,"")</f>
        <v>0.0208333333333333</v>
      </c>
      <c r="I41" s="48" t="n">
        <f aca="false">IF((E41-D41)&gt;0,E41-D41,"")</f>
        <v>0.333333333333333</v>
      </c>
      <c r="J41" s="61"/>
      <c r="K41" s="62"/>
      <c r="L41" s="63"/>
      <c r="M41" s="64"/>
      <c r="N41" s="65"/>
      <c r="O41" s="65"/>
      <c r="P41" s="66"/>
      <c r="Q41" s="67"/>
      <c r="R41" s="68"/>
      <c r="S41" s="69"/>
      <c r="T41" s="70"/>
      <c r="U41" s="71"/>
      <c r="V41" s="71"/>
      <c r="W41" s="71"/>
      <c r="X41" s="71"/>
      <c r="Y41" s="72"/>
    </row>
    <row r="42" customFormat="false" ht="15" hidden="false" customHeight="false" outlineLevel="0" collapsed="false">
      <c r="B42" s="41" t="n">
        <v>46109</v>
      </c>
      <c r="C42" s="73" t="s">
        <v>41</v>
      </c>
      <c r="D42" s="43"/>
      <c r="E42" s="44"/>
      <c r="F42" s="45"/>
      <c r="G42" s="46"/>
      <c r="H42" s="47"/>
      <c r="I42" s="48" t="str">
        <f aca="false">IF((E42-D42)&gt;0,E42-D42,"")</f>
        <v/>
      </c>
      <c r="J42" s="61"/>
      <c r="K42" s="62"/>
      <c r="L42" s="63"/>
      <c r="M42" s="64"/>
      <c r="N42" s="65"/>
      <c r="O42" s="65"/>
      <c r="P42" s="66"/>
      <c r="Q42" s="67"/>
      <c r="R42" s="68"/>
      <c r="S42" s="69"/>
      <c r="T42" s="70"/>
      <c r="U42" s="71"/>
      <c r="V42" s="71"/>
      <c r="W42" s="71"/>
      <c r="X42" s="71"/>
      <c r="Y42" s="72"/>
    </row>
    <row r="43" customFormat="false" ht="15" hidden="false" customHeight="false" outlineLevel="0" collapsed="false">
      <c r="B43" s="41" t="n">
        <v>46110</v>
      </c>
      <c r="C43" s="73" t="s">
        <v>42</v>
      </c>
      <c r="D43" s="43"/>
      <c r="E43" s="44"/>
      <c r="F43" s="45"/>
      <c r="G43" s="46"/>
      <c r="H43" s="47"/>
      <c r="I43" s="48" t="str">
        <f aca="false">IF((E43-D43)&gt;0,E43-D43,"")</f>
        <v/>
      </c>
      <c r="J43" s="81"/>
      <c r="K43" s="82"/>
      <c r="L43" s="83"/>
      <c r="M43" s="84"/>
      <c r="N43" s="85"/>
      <c r="O43" s="85"/>
      <c r="P43" s="86"/>
      <c r="Q43" s="87"/>
      <c r="R43" s="88"/>
      <c r="S43" s="89"/>
      <c r="T43" s="90"/>
      <c r="U43" s="91"/>
      <c r="V43" s="91"/>
      <c r="W43" s="91"/>
      <c r="X43" s="91"/>
      <c r="Y43" s="92"/>
    </row>
    <row r="44" s="40" customFormat="true" ht="16.5" hidden="false" customHeight="false" outlineLevel="0" collapsed="false">
      <c r="B44" s="74" t="s">
        <v>43</v>
      </c>
      <c r="C44" s="74"/>
      <c r="D44" s="74"/>
      <c r="E44" s="74"/>
      <c r="F44" s="74"/>
      <c r="G44" s="74"/>
      <c r="H44" s="74"/>
      <c r="I44" s="75" t="n">
        <f aca="false">SUM(I37:I43)</f>
        <v>1.66666666666667</v>
      </c>
      <c r="J44" s="75" t="n">
        <f aca="false">SUM(J37:J43)</f>
        <v>0</v>
      </c>
      <c r="K44" s="75" t="n">
        <f aca="false">SUM(K37:K43)</f>
        <v>0</v>
      </c>
      <c r="L44" s="76" t="n">
        <f aca="false">SUM(L37:L43)</f>
        <v>0</v>
      </c>
      <c r="M44" s="77" t="n">
        <f aca="false">SUM(M37:M43)</f>
        <v>0</v>
      </c>
      <c r="N44" s="78" t="n">
        <f aca="false">SUM(N37:N43)</f>
        <v>0</v>
      </c>
      <c r="O44" s="78" t="n">
        <f aca="false">SUM(O37:O43)</f>
        <v>0</v>
      </c>
      <c r="P44" s="78" t="n">
        <f aca="false">SUM(P37:P43)</f>
        <v>0</v>
      </c>
      <c r="Q44" s="78" t="n">
        <f aca="false">SUM(Q37:Q43)</f>
        <v>0</v>
      </c>
      <c r="R44" s="78" t="n">
        <f aca="false">SUM(R37:R43)</f>
        <v>0</v>
      </c>
      <c r="S44" s="78" t="n">
        <f aca="false">SUM(S37:S43)</f>
        <v>0</v>
      </c>
      <c r="T44" s="78" t="n">
        <f aca="false">SUM(T37:T43)</f>
        <v>0</v>
      </c>
      <c r="U44" s="78" t="n">
        <f aca="false">SUM(U37:U43)</f>
        <v>0</v>
      </c>
      <c r="V44" s="78" t="n">
        <f aca="false">SUM(V37:V43)</f>
        <v>0</v>
      </c>
      <c r="W44" s="78" t="n">
        <f aca="false">SUM(W37:W43)</f>
        <v>0</v>
      </c>
      <c r="X44" s="78" t="n">
        <f aca="false">SUM(X37:X43)</f>
        <v>0</v>
      </c>
      <c r="Y44" s="79" t="n">
        <f aca="false">SUM(Y37:Y43)</f>
        <v>0</v>
      </c>
    </row>
    <row r="45" customFormat="false" ht="15" hidden="false" customHeight="false" outlineLevel="0" collapsed="false">
      <c r="B45" s="41" t="n">
        <v>46111</v>
      </c>
      <c r="C45" s="42" t="s">
        <v>44</v>
      </c>
      <c r="D45" s="43" t="n">
        <v>0.375</v>
      </c>
      <c r="E45" s="44" t="n">
        <v>0.708333333333333</v>
      </c>
      <c r="F45" s="45" t="n">
        <v>0.520833333333333</v>
      </c>
      <c r="G45" s="46" t="n">
        <v>0.541666666666667</v>
      </c>
      <c r="H45" s="47" t="n">
        <f aca="false">IF((G45-F45)&gt;0,G45-F45,"")</f>
        <v>0.0208333333333333</v>
      </c>
      <c r="I45" s="48" t="n">
        <f aca="false">IF((E45-D45)&gt;0,E45-D45,"")</f>
        <v>0.333333333333333</v>
      </c>
      <c r="J45" s="61"/>
      <c r="K45" s="50"/>
      <c r="L45" s="51"/>
      <c r="M45" s="52"/>
      <c r="N45" s="53"/>
      <c r="O45" s="53"/>
      <c r="P45" s="54"/>
      <c r="Q45" s="55"/>
      <c r="R45" s="56"/>
      <c r="S45" s="57"/>
      <c r="T45" s="58"/>
      <c r="U45" s="59"/>
      <c r="V45" s="59"/>
      <c r="W45" s="59"/>
      <c r="X45" s="59"/>
      <c r="Y45" s="60"/>
    </row>
    <row r="46" customFormat="false" ht="15" hidden="false" customHeight="false" outlineLevel="0" collapsed="false">
      <c r="B46" s="41" t="n">
        <v>46112</v>
      </c>
      <c r="C46" s="80" t="s">
        <v>45</v>
      </c>
      <c r="D46" s="43" t="n">
        <v>0.375</v>
      </c>
      <c r="E46" s="44" t="n">
        <v>0.708333333333333</v>
      </c>
      <c r="F46" s="45" t="n">
        <v>0.520833333333333</v>
      </c>
      <c r="G46" s="46" t="n">
        <v>0.541666666666667</v>
      </c>
      <c r="H46" s="47" t="n">
        <f aca="false">IF((G46-F46)&gt;0,G46-F46,"")</f>
        <v>0.0208333333333333</v>
      </c>
      <c r="I46" s="48" t="n">
        <f aca="false">IF((E46-D46)&gt;0,E46-D46,"")</f>
        <v>0.333333333333333</v>
      </c>
      <c r="J46" s="93"/>
      <c r="K46" s="94"/>
      <c r="L46" s="95"/>
      <c r="M46" s="96"/>
      <c r="N46" s="97"/>
      <c r="O46" s="97"/>
      <c r="P46" s="98"/>
      <c r="Q46" s="99"/>
      <c r="R46" s="100"/>
      <c r="S46" s="101"/>
      <c r="T46" s="102"/>
      <c r="U46" s="103"/>
      <c r="V46" s="103"/>
      <c r="W46" s="103"/>
      <c r="X46" s="103"/>
      <c r="Y46" s="104"/>
    </row>
    <row r="47" customFormat="false" ht="15" hidden="false" customHeight="false" outlineLevel="0" collapsed="false">
      <c r="A47" s="1"/>
      <c r="B47" s="41"/>
      <c r="C47" s="73" t="s">
        <v>46</v>
      </c>
      <c r="D47" s="43"/>
      <c r="E47" s="44"/>
      <c r="F47" s="45"/>
      <c r="G47" s="46"/>
      <c r="H47" s="47"/>
      <c r="I47" s="48"/>
      <c r="J47" s="61"/>
      <c r="K47" s="62"/>
      <c r="L47" s="63"/>
      <c r="M47" s="64"/>
      <c r="N47" s="65"/>
      <c r="O47" s="65"/>
      <c r="P47" s="66"/>
      <c r="Q47" s="67"/>
      <c r="R47" s="68"/>
      <c r="S47" s="69"/>
      <c r="T47" s="70"/>
      <c r="U47" s="71"/>
      <c r="V47" s="71"/>
      <c r="W47" s="71"/>
      <c r="X47" s="71"/>
      <c r="Y47" s="72"/>
    </row>
    <row r="48" customFormat="false" ht="15" hidden="false" customHeight="false" outlineLevel="0" collapsed="false">
      <c r="B48" s="41"/>
      <c r="C48" s="73" t="s">
        <v>39</v>
      </c>
      <c r="D48" s="43"/>
      <c r="E48" s="44"/>
      <c r="F48" s="45"/>
      <c r="G48" s="46"/>
      <c r="H48" s="47"/>
      <c r="I48" s="48"/>
      <c r="J48" s="62"/>
      <c r="K48" s="62"/>
      <c r="L48" s="63"/>
      <c r="M48" s="64"/>
      <c r="N48" s="65"/>
      <c r="O48" s="65"/>
      <c r="P48" s="66"/>
      <c r="Q48" s="67"/>
      <c r="R48" s="68"/>
      <c r="S48" s="69"/>
      <c r="T48" s="70"/>
      <c r="U48" s="71"/>
      <c r="V48" s="71"/>
      <c r="W48" s="71"/>
      <c r="X48" s="71"/>
      <c r="Y48" s="72"/>
    </row>
    <row r="49" customFormat="false" ht="15" hidden="false" customHeight="false" outlineLevel="0" collapsed="false">
      <c r="B49" s="41"/>
      <c r="C49" s="73" t="s">
        <v>40</v>
      </c>
      <c r="D49" s="43"/>
      <c r="E49" s="44"/>
      <c r="F49" s="45"/>
      <c r="G49" s="46"/>
      <c r="H49" s="47"/>
      <c r="I49" s="48"/>
      <c r="J49" s="62"/>
      <c r="K49" s="62"/>
      <c r="L49" s="63"/>
      <c r="M49" s="64"/>
      <c r="N49" s="65"/>
      <c r="O49" s="65"/>
      <c r="P49" s="66"/>
      <c r="Q49" s="67"/>
      <c r="R49" s="68"/>
      <c r="S49" s="69"/>
      <c r="T49" s="70"/>
      <c r="U49" s="71"/>
      <c r="V49" s="71"/>
      <c r="W49" s="71"/>
      <c r="X49" s="71"/>
      <c r="Y49" s="72"/>
    </row>
    <row r="50" customFormat="false" ht="15" hidden="false" customHeight="false" outlineLevel="0" collapsed="false">
      <c r="B50" s="41"/>
      <c r="C50" s="73" t="s">
        <v>41</v>
      </c>
      <c r="D50" s="43"/>
      <c r="E50" s="44"/>
      <c r="F50" s="45"/>
      <c r="G50" s="46"/>
      <c r="H50" s="47"/>
      <c r="I50" s="48"/>
      <c r="J50" s="62"/>
      <c r="K50" s="62"/>
      <c r="L50" s="63"/>
      <c r="M50" s="64"/>
      <c r="N50" s="65"/>
      <c r="O50" s="65"/>
      <c r="P50" s="66"/>
      <c r="Q50" s="67"/>
      <c r="R50" s="68"/>
      <c r="S50" s="69"/>
      <c r="T50" s="70"/>
      <c r="U50" s="71"/>
      <c r="V50" s="71"/>
      <c r="W50" s="71"/>
      <c r="X50" s="71"/>
      <c r="Y50" s="72"/>
    </row>
    <row r="51" customFormat="false" ht="15" hidden="false" customHeight="false" outlineLevel="0" collapsed="false">
      <c r="B51" s="41"/>
      <c r="C51" s="73" t="s">
        <v>42</v>
      </c>
      <c r="D51" s="43"/>
      <c r="E51" s="44"/>
      <c r="F51" s="45"/>
      <c r="G51" s="46"/>
      <c r="H51" s="47"/>
      <c r="I51" s="48"/>
      <c r="J51" s="62"/>
      <c r="K51" s="62"/>
      <c r="L51" s="63"/>
      <c r="M51" s="64"/>
      <c r="N51" s="65"/>
      <c r="O51" s="65"/>
      <c r="P51" s="66"/>
      <c r="Q51" s="67"/>
      <c r="R51" s="68"/>
      <c r="S51" s="69"/>
      <c r="T51" s="70"/>
      <c r="U51" s="71"/>
      <c r="V51" s="71"/>
      <c r="W51" s="71"/>
      <c r="X51" s="71"/>
      <c r="Y51" s="72"/>
    </row>
    <row r="52" customFormat="false" ht="16.5" hidden="false" customHeight="false" outlineLevel="0" collapsed="false">
      <c r="A52" s="40"/>
      <c r="B52" s="74" t="s">
        <v>43</v>
      </c>
      <c r="C52" s="74"/>
      <c r="D52" s="74"/>
      <c r="E52" s="74"/>
      <c r="F52" s="74"/>
      <c r="G52" s="74"/>
      <c r="H52" s="74"/>
      <c r="I52" s="75" t="n">
        <f aca="false">SUM(I45:I51)</f>
        <v>0.666666666666667</v>
      </c>
      <c r="J52" s="75" t="n">
        <f aca="false">SUM(J45:J51)</f>
        <v>0</v>
      </c>
      <c r="K52" s="75" t="n">
        <f aca="false">SUM(K45:K51)</f>
        <v>0</v>
      </c>
      <c r="L52" s="76" t="n">
        <f aca="false">SUM(L45:L51)</f>
        <v>0</v>
      </c>
      <c r="M52" s="77" t="n">
        <f aca="false">SUM(M45:M51)</f>
        <v>0</v>
      </c>
      <c r="N52" s="78" t="n">
        <f aca="false">SUM(N45:N51)</f>
        <v>0</v>
      </c>
      <c r="O52" s="78" t="n">
        <f aca="false">SUM(O45:O51)</f>
        <v>0</v>
      </c>
      <c r="P52" s="78" t="n">
        <f aca="false">SUM(P45:P51)</f>
        <v>0</v>
      </c>
      <c r="Q52" s="78" t="n">
        <f aca="false">SUM(Q45:Q51)</f>
        <v>0</v>
      </c>
      <c r="R52" s="78" t="n">
        <f aca="false">SUM(R45:R51)</f>
        <v>0</v>
      </c>
      <c r="S52" s="78" t="n">
        <f aca="false">SUM(S45:S51)</f>
        <v>0</v>
      </c>
      <c r="T52" s="78" t="n">
        <f aca="false">SUM(T45:T51)</f>
        <v>0</v>
      </c>
      <c r="U52" s="78" t="n">
        <f aca="false">SUM(U45:U51)</f>
        <v>0</v>
      </c>
      <c r="V52" s="78" t="n">
        <f aca="false">SUM(V45:V51)</f>
        <v>0</v>
      </c>
      <c r="W52" s="78" t="n">
        <f aca="false">SUM(W45:W51)</f>
        <v>0</v>
      </c>
      <c r="X52" s="78" t="n">
        <f aca="false">SUM(X45:X51)</f>
        <v>0</v>
      </c>
      <c r="Y52" s="79" t="n">
        <f aca="false">SUM(Y45:Y51)</f>
        <v>0</v>
      </c>
    </row>
    <row r="53" customFormat="false" ht="16.5" hidden="false" customHeight="false" outlineLevel="0" collapsed="false">
      <c r="B53" s="105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</row>
    <row r="54" customFormat="false" ht="16.5" hidden="false" customHeight="false" outlineLevel="0" collapsed="false">
      <c r="B54" s="107" t="s">
        <v>47</v>
      </c>
      <c r="C54" s="107"/>
      <c r="D54" s="107"/>
      <c r="E54" s="107"/>
      <c r="F54" s="107"/>
      <c r="G54" s="107"/>
      <c r="H54" s="107"/>
      <c r="I54" s="108" t="n">
        <f aca="false">IF(I20+I28+I36+I44+I52,I20+I28+I36+I44+I52,"")</f>
        <v>7.33333333333333</v>
      </c>
      <c r="J54" s="108" t="str">
        <f aca="false">IF(J20+J28+J36+J44+J52,J20+J28+J36+J44+J52,"")</f>
        <v/>
      </c>
      <c r="K54" s="108" t="str">
        <f aca="false">IF(K20+K28+K36+K44+K52,K20+K28+K36+K44+K52,"")</f>
        <v/>
      </c>
      <c r="L54" s="108" t="str">
        <f aca="false">IF(L20+L28+L36+L44+L52,L20+L28+L36+L44+L52,"")</f>
        <v/>
      </c>
      <c r="M54" s="108" t="str">
        <f aca="false">IF(M20+M28+M36+M44+M52,M20+M28+M36+M44+M52,"")</f>
        <v/>
      </c>
      <c r="N54" s="108" t="str">
        <f aca="false">IF(N20+N28+N36+N44+N52,N20+N28+N36+N44+N52,"")</f>
        <v/>
      </c>
      <c r="O54" s="108" t="str">
        <f aca="false">IF(O20+O28+O36+O44+O52,O20+O28+O36+O44+O52,"")</f>
        <v/>
      </c>
      <c r="P54" s="108" t="str">
        <f aca="false">IF(P20+P28+P36+P44+P52,P20+P28+P36+P44+P52,"")</f>
        <v/>
      </c>
      <c r="Q54" s="108" t="str">
        <f aca="false">IF(Q20+Q28+Q36+Q44+Q52,Q20+Q28+Q36+Q44+Q52,"")</f>
        <v/>
      </c>
      <c r="R54" s="108" t="str">
        <f aca="false">IF(R20+R28+R36+R44+R52,R20+R28+R36+R44+R52,"")</f>
        <v/>
      </c>
      <c r="S54" s="108" t="str">
        <f aca="false">IF(S20+S28+S36+S44+S52,S20+S28+S36+S44+S52,"")</f>
        <v/>
      </c>
      <c r="T54" s="108" t="str">
        <f aca="false">IF(T20+T28+T36+T44+T52,T20+T28+T36+T44+T52,"")</f>
        <v/>
      </c>
      <c r="U54" s="108" t="str">
        <f aca="false">IF(U20+U28+U36+U44+U52,U20+U28+U36+U44+U52,"")</f>
        <v/>
      </c>
      <c r="V54" s="108" t="str">
        <f aca="false">IF(V20+V28+V36+V44+V52,V20+V28+V36+V44+V52,"")</f>
        <v/>
      </c>
      <c r="W54" s="108" t="str">
        <f aca="false">IF(W20+W28+W36+W44+W52,W20+W28+W36+W44+W52,"")</f>
        <v/>
      </c>
      <c r="X54" s="108" t="str">
        <f aca="false">IF(X20+X28+X36+X44+X52,X20+X28+X36+X44+X52,"")</f>
        <v/>
      </c>
      <c r="Y54" s="108" t="str">
        <f aca="false">IF(Y20+Y28+Y36+Y44+Y52,Y20+Y28+Y36+Y44+Y52,"")</f>
        <v/>
      </c>
    </row>
    <row r="57" customFormat="false" ht="15.75" hidden="false" customHeight="false" outlineLevel="0" collapsed="false">
      <c r="B57" s="109" t="s">
        <v>48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</row>
    <row r="58" customFormat="false" ht="15.75" hidden="false" customHeight="false" outlineLevel="0" collapsed="false"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</row>
    <row r="59" customFormat="false" ht="15.75" hidden="false" customHeight="false" outlineLevel="0" collapsed="false"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1" t="s">
        <v>49</v>
      </c>
      <c r="S59" s="111"/>
      <c r="T59" s="111"/>
      <c r="U59" s="110"/>
      <c r="V59" s="110"/>
      <c r="W59" s="110"/>
      <c r="X59" s="110"/>
      <c r="Y59" s="110"/>
    </row>
    <row r="60" customFormat="false" ht="15.75" hidden="false" customHeight="false" outlineLevel="0" collapsed="false">
      <c r="C60" s="110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</row>
    <row r="64" customFormat="false" ht="15.75" hidden="false" customHeight="false" outlineLevel="0" collapsed="false">
      <c r="J64" s="112"/>
    </row>
    <row r="65" customFormat="false" ht="15.75" hidden="false" customHeight="false" outlineLevel="0" collapsed="false">
      <c r="J65" s="112"/>
    </row>
    <row r="66" customFormat="false" ht="15.75" hidden="false" customHeight="false" outlineLevel="0" collapsed="false">
      <c r="J66" s="112"/>
    </row>
    <row r="67" customFormat="false" ht="15.75" hidden="false" customHeight="false" outlineLevel="0" collapsed="false">
      <c r="J67" s="112"/>
    </row>
    <row r="68" customFormat="false" ht="15.75" hidden="false" customHeight="false" outlineLevel="0" collapsed="false">
      <c r="C68" s="112"/>
      <c r="J68" s="112"/>
    </row>
    <row r="69" customFormat="false" ht="15.75" hidden="false" customHeight="false" outlineLevel="0" collapsed="false">
      <c r="C69" s="112"/>
      <c r="J69" s="112"/>
    </row>
    <row r="70" customFormat="false" ht="15.75" hidden="false" customHeight="false" outlineLevel="0" collapsed="false">
      <c r="C70" s="112"/>
      <c r="J70" s="112"/>
    </row>
    <row r="71" customFormat="false" ht="15.75" hidden="false" customHeight="false" outlineLevel="0" collapsed="false">
      <c r="C71" s="112"/>
    </row>
    <row r="72" customFormat="false" ht="15.75" hidden="false" customHeight="false" outlineLevel="0" collapsed="false">
      <c r="C72" s="112"/>
    </row>
    <row r="73" customFormat="false" ht="15.75" hidden="false" customHeight="false" outlineLevel="0" collapsed="false">
      <c r="C73" s="112"/>
    </row>
    <row r="74" customFormat="false" ht="15.75" hidden="false" customHeight="false" outlineLevel="0" collapsed="false">
      <c r="C74" s="112"/>
    </row>
    <row r="75" customFormat="false" ht="15.75" hidden="false" customHeight="false" outlineLevel="0" collapsed="false">
      <c r="C75" s="112"/>
    </row>
    <row r="76" customFormat="false" ht="15.75" hidden="false" customHeight="false" outlineLevel="0" collapsed="false">
      <c r="C76" s="112"/>
    </row>
    <row r="77" customFormat="false" ht="15.75" hidden="false" customHeight="false" outlineLevel="0" collapsed="false">
      <c r="C77" s="112"/>
    </row>
    <row r="78" customFormat="false" ht="15.75" hidden="false" customHeight="false" outlineLevel="0" collapsed="false">
      <c r="C78" s="112"/>
    </row>
    <row r="79" customFormat="false" ht="15.75" hidden="false" customHeight="false" outlineLevel="0" collapsed="false">
      <c r="C79" s="112"/>
    </row>
  </sheetData>
  <mergeCells count="30">
    <mergeCell ref="C4:G4"/>
    <mergeCell ref="I4:N4"/>
    <mergeCell ref="R4:T4"/>
    <mergeCell ref="U4:V4"/>
    <mergeCell ref="W4:X4"/>
    <mergeCell ref="C5:G5"/>
    <mergeCell ref="I5:N5"/>
    <mergeCell ref="R5:T5"/>
    <mergeCell ref="U5:X5"/>
    <mergeCell ref="C6:G6"/>
    <mergeCell ref="I6:K6"/>
    <mergeCell ref="R6:T6"/>
    <mergeCell ref="U6:X6"/>
    <mergeCell ref="C7:G7"/>
    <mergeCell ref="I7:N7"/>
    <mergeCell ref="C8:G8"/>
    <mergeCell ref="I8:K8"/>
    <mergeCell ref="D11:E11"/>
    <mergeCell ref="F11:H11"/>
    <mergeCell ref="I11:L11"/>
    <mergeCell ref="M11:P11"/>
    <mergeCell ref="Q11:R11"/>
    <mergeCell ref="T11:Y11"/>
    <mergeCell ref="B20:H20"/>
    <mergeCell ref="B28:H28"/>
    <mergeCell ref="B36:H36"/>
    <mergeCell ref="B44:H44"/>
    <mergeCell ref="B52:H52"/>
    <mergeCell ref="B54:H54"/>
    <mergeCell ref="R59:T59"/>
  </mergeCells>
  <conditionalFormatting sqref="B55:B1048576 B1:B53">
    <cfRule type="containsText" priority="2" operator="containsText" aboveAverage="0" equalAverage="0" bottom="0" percent="0" rank="0" text="&quot;Sunday&quot;" dxfId="0">
      <formula>NOT(ISERROR(SEARCH(""Sunday"",B1)))</formula>
    </cfRule>
  </conditionalFormatting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2023-05-05T10:03:31Z</dcterms:created>
  <dc:creator>Microsoft Office User</dc:creator>
  <dc:description/>
  <dc:language>en-US</dc:language>
  <cp:lastModifiedBy/>
  <cp:lastPrinted>2023-10-24T05:14:40Z</cp:lastPrinted>
  <dcterms:modified xsi:type="dcterms:W3CDTF">2026-04-09T20:55:15Z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